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p236\OneDrive\Documentos\PARCIAL 1 SFA\"/>
    </mc:Choice>
  </mc:AlternateContent>
  <xr:revisionPtr revIDLastSave="0" documentId="13_ncr:1_{82B43306-0BC4-459E-911D-4AA01F77DA99}" xr6:coauthVersionLast="36" xr6:coauthVersionMax="36" xr10:uidLastSave="{00000000-0000-0000-0000-000000000000}"/>
  <bookViews>
    <workbookView xWindow="0" yWindow="0" windowWidth="20490" windowHeight="7545" firstSheet="1" activeTab="3" xr2:uid="{6D33D73F-C28F-4777-83AC-37B432A91CAA}"/>
  </bookViews>
  <sheets>
    <sheet name="Hoja14" sheetId="14" r:id="rId1"/>
    <sheet name="Hoja2" sheetId="16" r:id="rId2"/>
    <sheet name="Hoja15" sheetId="15" r:id="rId3"/>
    <sheet name="Hoja13" sheetId="27" r:id="rId4"/>
    <sheet name="Hoja12" sheetId="26" r:id="rId5"/>
    <sheet name="Hoja11" sheetId="25" r:id="rId6"/>
    <sheet name="Hoja10" sheetId="24" r:id="rId7"/>
    <sheet name="Hoja6" sheetId="20" r:id="rId8"/>
    <sheet name="Hoja5" sheetId="19" r:id="rId9"/>
    <sheet name="Hoja4" sheetId="18" r:id="rId10"/>
    <sheet name="Hoja3" sheetId="17" r:id="rId11"/>
    <sheet name="Hoja9" sheetId="23" r:id="rId12"/>
    <sheet name="Hoja8" sheetId="22" r:id="rId13"/>
    <sheet name="Hoja7" sheetId="21" r:id="rId14"/>
    <sheet name="Hoja1" sheetId="1" r:id="rId1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11" i="1" l="1"/>
  <c r="C11" i="1"/>
  <c r="D10" i="1"/>
  <c r="C10" i="1"/>
  <c r="B11" i="1"/>
  <c r="E11" i="1" l="1"/>
  <c r="F11" i="1"/>
  <c r="G11" i="1"/>
  <c r="H11" i="1"/>
  <c r="I11" i="1"/>
  <c r="J11" i="1"/>
  <c r="K11" i="1"/>
  <c r="E10" i="1"/>
  <c r="F10" i="1" l="1"/>
  <c r="G10" i="1" s="1"/>
  <c r="H10" i="1" s="1"/>
  <c r="I10" i="1" s="1"/>
  <c r="J10" i="1" s="1"/>
  <c r="K10" i="1" s="1"/>
  <c r="B13" i="1" l="1"/>
</calcChain>
</file>

<file path=xl/sharedStrings.xml><?xml version="1.0" encoding="utf-8"?>
<sst xmlns="http://schemas.openxmlformats.org/spreadsheetml/2006/main" count="201" uniqueCount="22">
  <si>
    <t xml:space="preserve">datos de entrada </t>
  </si>
  <si>
    <t xml:space="preserve">2. flujo de entrada al final del año 1 </t>
  </si>
  <si>
    <t>3. tasa de incremento del flujo de entrada al año</t>
  </si>
  <si>
    <t xml:space="preserve">4. numero de años de los flujos de entrada </t>
  </si>
  <si>
    <t>5. tasa de descuento</t>
  </si>
  <si>
    <t>calculo de el valor  presente neto de una serie de flujos</t>
  </si>
  <si>
    <t>1. flujo de salida al inicio del año 1(Inv. Inicial)</t>
  </si>
  <si>
    <t xml:space="preserve">modelo de flujos </t>
  </si>
  <si>
    <t>año</t>
  </si>
  <si>
    <t>flujo de efectivo</t>
  </si>
  <si>
    <t>factor de descuento</t>
  </si>
  <si>
    <t>interes simple</t>
  </si>
  <si>
    <t>valor presente neto</t>
  </si>
  <si>
    <t>Datos de entrada</t>
  </si>
  <si>
    <t>1.flujo de salida al inicio del año 1 (inv. inicial)</t>
  </si>
  <si>
    <t xml:space="preserve">2.flujo de entrada del año 1 </t>
  </si>
  <si>
    <t>modelo de flujos</t>
  </si>
  <si>
    <t>Flujo de efectivo</t>
  </si>
  <si>
    <t>calculo de el valor presente neto de una serie de flujos</t>
  </si>
  <si>
    <t xml:space="preserve">   </t>
  </si>
  <si>
    <t>tazas</t>
  </si>
  <si>
    <t>VPN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</si>
</sst>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$&quot;* #,##0.00_-;\-&quot;$&quot;* #,##0.00_-;_-&quot;$&quot;* &quot;-&quot;??_-;_-@_-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9">
    <xf numFmtId="0" fontId="0" fillId="0" borderId="0" xfId="0"/>
    <xf numFmtId="3" fontId="0" fillId="0" borderId="0" xfId="0" applyNumberFormat="1"/>
    <xf numFmtId="3" fontId="0" fillId="2" borderId="0" xfId="0" applyNumberFormat="1" applyFill="1"/>
    <xf numFmtId="0" fontId="0" fillId="2" borderId="0" xfId="0" applyFill="1"/>
    <xf numFmtId="9" fontId="0" fillId="2" borderId="0" xfId="0" applyNumberFormat="1" applyFill="1"/>
    <xf numFmtId="0" fontId="2" fillId="0" borderId="0" xfId="0" applyFont="1"/>
    <xf numFmtId="44" fontId="0" fillId="0" borderId="0" xfId="1" applyFont="1"/>
    <xf numFmtId="44" fontId="0" fillId="2" borderId="0" xfId="1" applyFont="1" applyFill="1"/>
    <xf numFmtId="9" fontId="0" fillId="2" borderId="0" xfId="2" applyFont="1" applyFill="1"/>
  </cellXfs>
  <cellStyles count="3">
    <cellStyle name="Moneda" xfId="1" builtinId="4"/>
    <cellStyle name="Normal" xfId="0" builtinId="0"/>
    <cellStyle name="Porcentaje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C4248-7376-4C2C-B1D5-BD47B5CE5284}">
  <sheetPr codeName="Hoja14"/>
  <dimension ref="A1:K13"/>
  <sheetViews>
    <sheetView workbookViewId="0"/>
  </sheetViews>
  <sheetFormatPr baseColWidth="10" defaultRowHeight="15" x14ac:dyDescent="0.25"/>
  <cols>
    <col min="1" max="1" width="44.42578125" bestFit="1" customWidth="1"/>
  </cols>
  <sheetData>
    <row r="1" spans="1:11" x14ac:dyDescent="0.25">
      <c r="A1" s="5" t="s">
        <v>13</v>
      </c>
      <c r="D1" t="s">
        <v>18</v>
      </c>
    </row>
    <row r="2" spans="1:11" x14ac:dyDescent="0.25">
      <c r="A2" t="s">
        <v>14</v>
      </c>
      <c r="B2" s="7">
        <v>40000</v>
      </c>
    </row>
    <row r="3" spans="1:11" x14ac:dyDescent="0.25">
      <c r="A3" t="s">
        <v>15</v>
      </c>
      <c r="B3" s="7">
        <v>12000</v>
      </c>
    </row>
    <row r="4" spans="1:11" x14ac:dyDescent="0.25">
      <c r="A4" t="s">
        <v>2</v>
      </c>
      <c r="B4" s="8">
        <v>0.11999999731779099</v>
      </c>
    </row>
    <row r="5" spans="1:11" x14ac:dyDescent="0.25">
      <c r="A5" t="s">
        <v>3</v>
      </c>
      <c r="B5" s="3">
        <v>10</v>
      </c>
    </row>
    <row r="6" spans="1:11" x14ac:dyDescent="0.25">
      <c r="A6" t="s">
        <v>4</v>
      </c>
      <c r="B6" s="8">
        <v>0.15999999642372131</v>
      </c>
      <c r="C6" t="s">
        <v>11</v>
      </c>
    </row>
    <row r="8" spans="1:11" x14ac:dyDescent="0.25">
      <c r="A8" t="s">
        <v>16</v>
      </c>
    </row>
    <row r="9" spans="1:11" x14ac:dyDescent="0.25">
      <c r="A9" t="s">
        <v>8</v>
      </c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</row>
    <row r="10" spans="1:11" x14ac:dyDescent="0.25">
      <c r="A10" t="s">
        <v>17</v>
      </c>
      <c r="B10" s="6">
        <v>12000</v>
      </c>
      <c r="C10" s="6">
        <v>13440.000057220459</v>
      </c>
      <c r="D10" s="6">
        <v>15052.800128173829</v>
      </c>
      <c r="E10" s="6">
        <v>16859.136215332033</v>
      </c>
      <c r="F10" s="6">
        <v>18882.232641562499</v>
      </c>
      <c r="G10" s="6">
        <v>21148.100648587504</v>
      </c>
      <c r="H10" s="6">
        <v>23685.872827260006</v>
      </c>
      <c r="I10" s="6">
        <v>26528.177679474251</v>
      </c>
      <c r="J10" s="6">
        <v>29711.559127507371</v>
      </c>
      <c r="K10" s="6">
        <v>33276.946364484007</v>
      </c>
    </row>
    <row r="11" spans="1:11" x14ac:dyDescent="0.25">
      <c r="A11" t="s">
        <v>10</v>
      </c>
      <c r="B11">
        <v>0.8928571343421936</v>
      </c>
      <c r="C11">
        <v>0.80645161867141724</v>
      </c>
      <c r="D11">
        <v>0.73529410362243652</v>
      </c>
      <c r="E11">
        <v>0.67567569017410278</v>
      </c>
      <c r="F11">
        <v>0.62500005960464478</v>
      </c>
      <c r="G11">
        <v>0.58139532804489136</v>
      </c>
      <c r="H11">
        <v>0.54347831010818481</v>
      </c>
      <c r="I11">
        <v>0.51020407676696777</v>
      </c>
      <c r="J11">
        <v>0.48076924681663513</v>
      </c>
      <c r="K11">
        <v>0.45454549789428711</v>
      </c>
    </row>
    <row r="13" spans="1:11" x14ac:dyDescent="0.25">
      <c r="A13" t="s">
        <v>12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54985D-A27B-4A9F-BB32-E173EA3BE1B8}">
  <sheetPr codeName="Hoja3"/>
  <dimension ref="A1:K13"/>
  <sheetViews>
    <sheetView workbookViewId="0">
      <selection activeCell="B13" sqref="B13"/>
    </sheetView>
  </sheetViews>
  <sheetFormatPr baseColWidth="10" defaultRowHeight="15" x14ac:dyDescent="0.25"/>
  <cols>
    <col min="1" max="1" width="44.42578125" bestFit="1" customWidth="1"/>
  </cols>
  <sheetData>
    <row r="1" spans="1:11" x14ac:dyDescent="0.25">
      <c r="A1" s="5" t="s">
        <v>13</v>
      </c>
      <c r="D1" t="s">
        <v>18</v>
      </c>
    </row>
    <row r="2" spans="1:11" x14ac:dyDescent="0.25">
      <c r="A2" t="s">
        <v>14</v>
      </c>
      <c r="B2" s="7">
        <v>40000</v>
      </c>
    </row>
    <row r="3" spans="1:11" x14ac:dyDescent="0.25">
      <c r="A3" t="s">
        <v>15</v>
      </c>
      <c r="B3" s="7">
        <v>12000</v>
      </c>
    </row>
    <row r="4" spans="1:11" x14ac:dyDescent="0.25">
      <c r="A4" t="s">
        <v>2</v>
      </c>
      <c r="B4" s="8">
        <v>0.11999999731779099</v>
      </c>
    </row>
    <row r="5" spans="1:11" x14ac:dyDescent="0.25">
      <c r="A5" t="s">
        <v>3</v>
      </c>
      <c r="B5" s="3">
        <v>10</v>
      </c>
    </row>
    <row r="6" spans="1:11" x14ac:dyDescent="0.25">
      <c r="A6" t="s">
        <v>4</v>
      </c>
      <c r="B6" s="8">
        <v>0.15999999642372131</v>
      </c>
      <c r="C6" t="s">
        <v>11</v>
      </c>
    </row>
    <row r="8" spans="1:11" x14ac:dyDescent="0.25">
      <c r="A8" t="s">
        <v>16</v>
      </c>
    </row>
    <row r="9" spans="1:11" x14ac:dyDescent="0.25">
      <c r="A9" t="s">
        <v>8</v>
      </c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</row>
    <row r="10" spans="1:11" x14ac:dyDescent="0.25">
      <c r="A10" t="s">
        <v>17</v>
      </c>
      <c r="B10" s="6">
        <v>12000</v>
      </c>
      <c r="C10" s="6">
        <v>13440.000057220459</v>
      </c>
      <c r="D10" s="6">
        <v>15052.800128173829</v>
      </c>
      <c r="E10" s="6">
        <v>16859.136215332033</v>
      </c>
      <c r="F10" s="6">
        <v>18882.232641562499</v>
      </c>
      <c r="G10" s="6">
        <v>21148.100648587504</v>
      </c>
      <c r="H10" s="6">
        <v>23685.872827260006</v>
      </c>
      <c r="I10" s="6">
        <v>26528.177679474251</v>
      </c>
      <c r="J10" s="6">
        <v>29711.559127507371</v>
      </c>
      <c r="K10" s="6">
        <v>33276.946364484007</v>
      </c>
    </row>
    <row r="11" spans="1:11" x14ac:dyDescent="0.25">
      <c r="A11" t="s">
        <v>10</v>
      </c>
      <c r="B11">
        <v>0.8928571343421936</v>
      </c>
      <c r="C11">
        <v>0.80645161867141724</v>
      </c>
      <c r="D11">
        <v>0.73529410362243652</v>
      </c>
      <c r="E11">
        <v>0.67567569017410278</v>
      </c>
      <c r="F11">
        <v>0.62500005960464478</v>
      </c>
      <c r="G11">
        <v>0.58139532804489136</v>
      </c>
      <c r="H11">
        <v>0.54347831010818481</v>
      </c>
      <c r="I11">
        <v>0.51020407676696777</v>
      </c>
      <c r="J11">
        <v>0.48076924681663513</v>
      </c>
      <c r="K11">
        <v>0.45454549789428711</v>
      </c>
    </row>
    <row r="13" spans="1:11" x14ac:dyDescent="0.25">
      <c r="A13" t="s">
        <v>12</v>
      </c>
    </row>
  </sheetData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A5BFA7-20A0-427C-A9D2-996833CC8B98}">
  <sheetPr codeName="Hoja2"/>
  <dimension ref="A1:K13"/>
  <sheetViews>
    <sheetView workbookViewId="0"/>
  </sheetViews>
  <sheetFormatPr baseColWidth="10" defaultRowHeight="15" x14ac:dyDescent="0.25"/>
  <cols>
    <col min="1" max="1" width="44.42578125" bestFit="1" customWidth="1"/>
  </cols>
  <sheetData>
    <row r="1" spans="1:11" x14ac:dyDescent="0.25">
      <c r="A1" s="5" t="s">
        <v>13</v>
      </c>
      <c r="D1" t="s">
        <v>18</v>
      </c>
    </row>
    <row r="2" spans="1:11" x14ac:dyDescent="0.25">
      <c r="A2" t="s">
        <v>14</v>
      </c>
      <c r="B2" s="7">
        <v>40000</v>
      </c>
    </row>
    <row r="3" spans="1:11" x14ac:dyDescent="0.25">
      <c r="A3" t="s">
        <v>15</v>
      </c>
      <c r="B3" s="7">
        <v>12000</v>
      </c>
    </row>
    <row r="4" spans="1:11" x14ac:dyDescent="0.25">
      <c r="A4" t="s">
        <v>2</v>
      </c>
      <c r="B4" s="8">
        <v>0.11999999731779099</v>
      </c>
    </row>
    <row r="5" spans="1:11" x14ac:dyDescent="0.25">
      <c r="A5" t="s">
        <v>3</v>
      </c>
      <c r="B5" s="3">
        <v>10</v>
      </c>
    </row>
    <row r="6" spans="1:11" x14ac:dyDescent="0.25">
      <c r="A6" t="s">
        <v>4</v>
      </c>
      <c r="B6" s="8">
        <v>0.15999999642372131</v>
      </c>
      <c r="C6" t="s">
        <v>11</v>
      </c>
    </row>
    <row r="8" spans="1:11" x14ac:dyDescent="0.25">
      <c r="A8" t="s">
        <v>16</v>
      </c>
    </row>
    <row r="9" spans="1:11" x14ac:dyDescent="0.25">
      <c r="A9" t="s">
        <v>8</v>
      </c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</row>
    <row r="10" spans="1:11" x14ac:dyDescent="0.25">
      <c r="A10" t="s">
        <v>17</v>
      </c>
      <c r="B10" s="6">
        <v>12000</v>
      </c>
      <c r="C10" s="6">
        <v>13440.000057220459</v>
      </c>
      <c r="D10" s="6">
        <v>15052.800128173829</v>
      </c>
      <c r="E10" s="6">
        <v>16859.136215332033</v>
      </c>
      <c r="F10" s="6">
        <v>18882.232641562499</v>
      </c>
      <c r="G10" s="6">
        <v>21148.100648587504</v>
      </c>
      <c r="H10" s="6">
        <v>23685.872827260006</v>
      </c>
      <c r="I10" s="6">
        <v>26528.177679474251</v>
      </c>
      <c r="J10" s="6">
        <v>29711.559127507371</v>
      </c>
      <c r="K10" s="6">
        <v>33276.946364484007</v>
      </c>
    </row>
    <row r="11" spans="1:11" x14ac:dyDescent="0.25">
      <c r="A11" t="s">
        <v>10</v>
      </c>
      <c r="B11">
        <v>0.8928571343421936</v>
      </c>
      <c r="C11">
        <v>0.80645161867141724</v>
      </c>
      <c r="D11">
        <v>0.73529410362243652</v>
      </c>
      <c r="E11">
        <v>0.67567569017410278</v>
      </c>
      <c r="F11">
        <v>0.62500005960464478</v>
      </c>
      <c r="G11">
        <v>0.58139532804489136</v>
      </c>
      <c r="H11">
        <v>0.54347831010818481</v>
      </c>
      <c r="I11">
        <v>0.51020407676696777</v>
      </c>
      <c r="J11">
        <v>0.48076924681663513</v>
      </c>
      <c r="K11">
        <v>0.45454549789428711</v>
      </c>
    </row>
    <row r="13" spans="1:11" x14ac:dyDescent="0.25">
      <c r="A13" t="s">
        <v>12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18FCB2-A2B6-4A7A-BB27-C972CE5D5961}">
  <sheetPr codeName="Hoja15"/>
  <dimension ref="A1:K20"/>
  <sheetViews>
    <sheetView tabSelected="1" workbookViewId="0"/>
  </sheetViews>
  <sheetFormatPr baseColWidth="10" defaultRowHeight="15" x14ac:dyDescent="0.25"/>
  <cols>
    <col min="1" max="1" width="44.42578125" bestFit="1" customWidth="1"/>
  </cols>
  <sheetData>
    <row r="1" spans="1:11" x14ac:dyDescent="0.25">
      <c r="A1" s="5" t="s">
        <v>13</v>
      </c>
      <c r="D1" t="s">
        <v>18</v>
      </c>
    </row>
    <row r="2" spans="1:11" x14ac:dyDescent="0.25">
      <c r="A2" t="s">
        <v>14</v>
      </c>
      <c r="B2" s="7">
        <v>40000</v>
      </c>
    </row>
    <row r="3" spans="1:11" x14ac:dyDescent="0.25">
      <c r="A3" t="s">
        <v>15</v>
      </c>
      <c r="B3" s="7">
        <v>12000</v>
      </c>
    </row>
    <row r="4" spans="1:11" x14ac:dyDescent="0.25">
      <c r="A4" t="s">
        <v>2</v>
      </c>
      <c r="B4" s="8">
        <v>0.11999999731779099</v>
      </c>
    </row>
    <row r="5" spans="1:11" x14ac:dyDescent="0.25">
      <c r="A5" t="s">
        <v>3</v>
      </c>
      <c r="B5" s="3">
        <v>10</v>
      </c>
    </row>
    <row r="6" spans="1:11" x14ac:dyDescent="0.25">
      <c r="A6" t="s">
        <v>4</v>
      </c>
      <c r="B6" s="8">
        <v>0.15999999642372131</v>
      </c>
      <c r="C6" t="s">
        <v>11</v>
      </c>
    </row>
    <row r="8" spans="1:11" x14ac:dyDescent="0.25">
      <c r="A8" t="s">
        <v>16</v>
      </c>
    </row>
    <row r="9" spans="1:11" x14ac:dyDescent="0.25">
      <c r="A9" t="s">
        <v>8</v>
      </c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</row>
    <row r="10" spans="1:11" x14ac:dyDescent="0.25">
      <c r="A10" t="s">
        <v>17</v>
      </c>
      <c r="B10" s="6">
        <v>12000</v>
      </c>
      <c r="C10" s="6">
        <v>13440.000057220459</v>
      </c>
      <c r="D10" s="6">
        <v>15052.800128173829</v>
      </c>
      <c r="E10" s="6">
        <v>16859.136215332033</v>
      </c>
      <c r="F10" s="6">
        <v>18882.232641562499</v>
      </c>
      <c r="G10" s="6">
        <v>21148.100648587504</v>
      </c>
      <c r="H10" s="6">
        <v>23685.872827260006</v>
      </c>
      <c r="I10" s="6">
        <v>26528.177679474251</v>
      </c>
      <c r="J10" s="6">
        <v>29711.559127507371</v>
      </c>
      <c r="K10" s="6">
        <v>33276.946364484007</v>
      </c>
    </row>
    <row r="11" spans="1:11" x14ac:dyDescent="0.25">
      <c r="A11" t="s">
        <v>10</v>
      </c>
      <c r="B11">
        <v>0.86206901073455811</v>
      </c>
      <c r="C11">
        <v>0.75757580995559692</v>
      </c>
      <c r="D11">
        <v>0.67567569017410278</v>
      </c>
      <c r="E11">
        <v>0.60975611209869385</v>
      </c>
      <c r="F11">
        <v>0.55555558204650879</v>
      </c>
      <c r="G11">
        <v>0.51020407676696777</v>
      </c>
      <c r="H11">
        <v>0.47169813513755798</v>
      </c>
      <c r="I11">
        <v>0.43859648704528809</v>
      </c>
      <c r="J11">
        <v>0.4098360538482666</v>
      </c>
      <c r="K11">
        <v>0.38461539149284363</v>
      </c>
    </row>
    <row r="13" spans="1:11" x14ac:dyDescent="0.25">
      <c r="A13" t="s">
        <v>12</v>
      </c>
      <c r="B13">
        <v>70040.837917748897</v>
      </c>
    </row>
    <row r="15" spans="1:11" x14ac:dyDescent="0.25">
      <c r="B15" t="s">
        <v>20</v>
      </c>
      <c r="C15" t="s">
        <v>21</v>
      </c>
    </row>
    <row r="16" spans="1:11" x14ac:dyDescent="0.25">
      <c r="B16">
        <v>18</v>
      </c>
      <c r="C16">
        <v>-37363.441205929106</v>
      </c>
    </row>
    <row r="17" spans="2:3" x14ac:dyDescent="0.25">
      <c r="B17">
        <v>0.12</v>
      </c>
      <c r="C17">
        <v>83927.171474119241</v>
      </c>
    </row>
    <row r="18" spans="2:3" x14ac:dyDescent="0.25">
      <c r="B18">
        <v>1.5</v>
      </c>
      <c r="C18">
        <v>-14129.277646458102</v>
      </c>
    </row>
    <row r="19" spans="2:3" x14ac:dyDescent="0.25">
      <c r="B19">
        <v>0.04</v>
      </c>
      <c r="C19">
        <v>128964.43251756695</v>
      </c>
    </row>
    <row r="20" spans="2:3" x14ac:dyDescent="0.25">
      <c r="B20">
        <v>5</v>
      </c>
      <c r="C20">
        <v>-31022.767043163058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5E8F71-8118-4DB3-982C-0918B727B08F}">
  <sheetPr codeName="Hoja13"/>
  <dimension ref="A1:K20"/>
  <sheetViews>
    <sheetView workbookViewId="0"/>
  </sheetViews>
  <sheetFormatPr baseColWidth="10" defaultRowHeight="15" x14ac:dyDescent="0.25"/>
  <cols>
    <col min="1" max="1" width="44.42578125" bestFit="1" customWidth="1"/>
  </cols>
  <sheetData>
    <row r="1" spans="1:11" x14ac:dyDescent="0.25">
      <c r="A1" s="5" t="s">
        <v>13</v>
      </c>
      <c r="D1" t="s">
        <v>18</v>
      </c>
    </row>
    <row r="2" spans="1:11" x14ac:dyDescent="0.25">
      <c r="A2" t="s">
        <v>14</v>
      </c>
      <c r="B2" s="7">
        <v>40000</v>
      </c>
    </row>
    <row r="3" spans="1:11" x14ac:dyDescent="0.25">
      <c r="A3" t="s">
        <v>15</v>
      </c>
      <c r="B3" s="7">
        <v>12000</v>
      </c>
    </row>
    <row r="4" spans="1:11" x14ac:dyDescent="0.25">
      <c r="A4" t="s">
        <v>2</v>
      </c>
      <c r="B4" s="8">
        <v>0.11999999731779099</v>
      </c>
    </row>
    <row r="5" spans="1:11" x14ac:dyDescent="0.25">
      <c r="A5" t="s">
        <v>3</v>
      </c>
      <c r="B5" s="3">
        <v>10</v>
      </c>
    </row>
    <row r="6" spans="1:11" x14ac:dyDescent="0.25">
      <c r="A6" t="s">
        <v>4</v>
      </c>
      <c r="B6" s="8">
        <v>0.15999999642372131</v>
      </c>
      <c r="C6" t="s">
        <v>11</v>
      </c>
    </row>
    <row r="8" spans="1:11" x14ac:dyDescent="0.25">
      <c r="A8" t="s">
        <v>16</v>
      </c>
    </row>
    <row r="9" spans="1:11" x14ac:dyDescent="0.25">
      <c r="A9" t="s">
        <v>8</v>
      </c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</row>
    <row r="10" spans="1:11" x14ac:dyDescent="0.25">
      <c r="A10" t="s">
        <v>17</v>
      </c>
      <c r="B10" s="6">
        <v>12000</v>
      </c>
      <c r="C10" s="6">
        <v>13440.000057220459</v>
      </c>
      <c r="D10" s="6">
        <v>15052.800128173829</v>
      </c>
      <c r="E10" s="6">
        <v>16859.136215332033</v>
      </c>
      <c r="F10" s="6">
        <v>18882.232641562499</v>
      </c>
      <c r="G10" s="6">
        <v>21148.100648587504</v>
      </c>
      <c r="H10" s="6">
        <v>23685.872827260006</v>
      </c>
      <c r="I10" s="6">
        <v>26528.177679474251</v>
      </c>
      <c r="J10" s="6">
        <v>29711.559127507371</v>
      </c>
      <c r="K10" s="6">
        <v>33276.946364484007</v>
      </c>
    </row>
    <row r="11" spans="1:11" x14ac:dyDescent="0.25">
      <c r="A11" t="s">
        <v>10</v>
      </c>
      <c r="B11">
        <v>0.86206901073455811</v>
      </c>
      <c r="C11">
        <v>0.75757580995559692</v>
      </c>
      <c r="D11">
        <v>0.67567569017410278</v>
      </c>
      <c r="E11">
        <v>0.60975611209869385</v>
      </c>
      <c r="F11">
        <v>0.55555558204650879</v>
      </c>
      <c r="G11">
        <v>0.51020407676696777</v>
      </c>
      <c r="H11">
        <v>0.47169813513755798</v>
      </c>
      <c r="I11">
        <v>0.43859648704528809</v>
      </c>
      <c r="J11">
        <v>0.4098360538482666</v>
      </c>
      <c r="K11">
        <v>0.38461539149284363</v>
      </c>
    </row>
    <row r="13" spans="1:11" x14ac:dyDescent="0.25">
      <c r="A13" t="s">
        <v>12</v>
      </c>
      <c r="B13">
        <v>70040.837917748897</v>
      </c>
    </row>
    <row r="15" spans="1:11" x14ac:dyDescent="0.25">
      <c r="B15" t="s">
        <v>20</v>
      </c>
      <c r="C15" t="s">
        <v>21</v>
      </c>
    </row>
    <row r="16" spans="1:11" x14ac:dyDescent="0.25">
      <c r="B16">
        <v>0.16</v>
      </c>
      <c r="C16">
        <v>70040.835521564717</v>
      </c>
    </row>
    <row r="17" spans="2:3" x14ac:dyDescent="0.25">
      <c r="B17">
        <v>0.16</v>
      </c>
      <c r="C17">
        <v>70040.835521564717</v>
      </c>
    </row>
    <row r="18" spans="2:3" x14ac:dyDescent="0.25">
      <c r="B18">
        <v>0.02</v>
      </c>
      <c r="C18">
        <v>147103.02391846493</v>
      </c>
    </row>
    <row r="19" spans="2:3" x14ac:dyDescent="0.25">
      <c r="B19">
        <v>0.45</v>
      </c>
      <c r="C19">
        <v>22709.999186026587</v>
      </c>
    </row>
    <row r="20" spans="2:3" x14ac:dyDescent="0.25">
      <c r="B20">
        <v>1.1000000000000001</v>
      </c>
      <c r="C20">
        <v>-6847.0161225535321</v>
      </c>
    </row>
  </sheetData>
  <pageMargins left="0.7" right="0.7" top="0.75" bottom="0.75" header="0.3" footer="0.3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676030-BDA9-4DF7-BCBA-D1B5926E59BB}">
  <sheetPr codeName="Hoja12"/>
  <dimension ref="A1:K20"/>
  <sheetViews>
    <sheetView workbookViewId="0">
      <selection activeCell="B16" sqref="B16"/>
    </sheetView>
  </sheetViews>
  <sheetFormatPr baseColWidth="10" defaultRowHeight="15" x14ac:dyDescent="0.25"/>
  <cols>
    <col min="1" max="1" width="44.42578125" bestFit="1" customWidth="1"/>
  </cols>
  <sheetData>
    <row r="1" spans="1:11" x14ac:dyDescent="0.25">
      <c r="A1" s="5" t="s">
        <v>13</v>
      </c>
      <c r="D1" t="s">
        <v>18</v>
      </c>
    </row>
    <row r="2" spans="1:11" x14ac:dyDescent="0.25">
      <c r="A2" t="s">
        <v>14</v>
      </c>
      <c r="B2" s="7">
        <v>40000</v>
      </c>
    </row>
    <row r="3" spans="1:11" x14ac:dyDescent="0.25">
      <c r="A3" t="s">
        <v>15</v>
      </c>
      <c r="B3" s="7">
        <v>12000</v>
      </c>
    </row>
    <row r="4" spans="1:11" x14ac:dyDescent="0.25">
      <c r="A4" t="s">
        <v>2</v>
      </c>
      <c r="B4" s="8">
        <v>0.11999999731779099</v>
      </c>
    </row>
    <row r="5" spans="1:11" x14ac:dyDescent="0.25">
      <c r="A5" t="s">
        <v>3</v>
      </c>
      <c r="B5" s="3">
        <v>10</v>
      </c>
    </row>
    <row r="6" spans="1:11" x14ac:dyDescent="0.25">
      <c r="A6" t="s">
        <v>4</v>
      </c>
      <c r="B6" s="8">
        <v>0.15999999642372131</v>
      </c>
      <c r="C6" t="s">
        <v>11</v>
      </c>
    </row>
    <row r="8" spans="1:11" x14ac:dyDescent="0.25">
      <c r="A8" t="s">
        <v>16</v>
      </c>
    </row>
    <row r="9" spans="1:11" x14ac:dyDescent="0.25">
      <c r="A9" t="s">
        <v>8</v>
      </c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</row>
    <row r="10" spans="1:11" x14ac:dyDescent="0.25">
      <c r="A10" t="s">
        <v>17</v>
      </c>
      <c r="B10" s="6">
        <v>12000</v>
      </c>
      <c r="C10" s="6">
        <v>13440.000057220459</v>
      </c>
      <c r="D10" s="6">
        <v>15052.800128173829</v>
      </c>
      <c r="E10" s="6">
        <v>16859.136215332033</v>
      </c>
      <c r="F10" s="6">
        <v>18882.232641562499</v>
      </c>
      <c r="G10" s="6">
        <v>21148.100648587504</v>
      </c>
      <c r="H10" s="6">
        <v>23685.872827260006</v>
      </c>
      <c r="I10" s="6">
        <v>26528.177679474251</v>
      </c>
      <c r="J10" s="6">
        <v>29711.559127507371</v>
      </c>
      <c r="K10" s="6">
        <v>33276.946364484007</v>
      </c>
    </row>
    <row r="11" spans="1:11" x14ac:dyDescent="0.25">
      <c r="A11" t="s">
        <v>10</v>
      </c>
      <c r="B11">
        <v>0.86206901073455811</v>
      </c>
      <c r="C11">
        <v>0.75757580995559692</v>
      </c>
      <c r="D11">
        <v>0.67567569017410278</v>
      </c>
      <c r="E11">
        <v>0.60975611209869385</v>
      </c>
      <c r="F11">
        <v>0.55555558204650879</v>
      </c>
      <c r="G11">
        <v>0.51020407676696777</v>
      </c>
      <c r="H11">
        <v>0.47169813513755798</v>
      </c>
      <c r="I11">
        <v>0.43859648704528809</v>
      </c>
      <c r="J11">
        <v>0.4098360538482666</v>
      </c>
      <c r="K11">
        <v>0.38461539149284363</v>
      </c>
    </row>
    <row r="13" spans="1:11" x14ac:dyDescent="0.25">
      <c r="A13" t="s">
        <v>12</v>
      </c>
      <c r="B13">
        <v>70040.837917748897</v>
      </c>
    </row>
    <row r="15" spans="1:11" x14ac:dyDescent="0.25">
      <c r="B15" t="s">
        <v>20</v>
      </c>
      <c r="C15" t="s">
        <v>21</v>
      </c>
    </row>
    <row r="16" spans="1:11" x14ac:dyDescent="0.25">
      <c r="B16">
        <v>16</v>
      </c>
      <c r="C16">
        <v>-37042.287255205352</v>
      </c>
    </row>
    <row r="17" spans="2:3" x14ac:dyDescent="0.25">
      <c r="B17">
        <v>12</v>
      </c>
      <c r="C17">
        <v>-36089.438935928127</v>
      </c>
    </row>
    <row r="18" spans="2:3" x14ac:dyDescent="0.25">
      <c r="B18">
        <v>1</v>
      </c>
      <c r="C18">
        <v>-4312.1344406069802</v>
      </c>
    </row>
    <row r="19" spans="2:3" x14ac:dyDescent="0.25">
      <c r="B19">
        <v>3</v>
      </c>
      <c r="C19">
        <v>-25712.331193430738</v>
      </c>
    </row>
    <row r="20" spans="2:3" x14ac:dyDescent="0.25">
      <c r="B20">
        <v>0.6</v>
      </c>
      <c r="C20">
        <v>11786.711676698236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08ADDF-8FC8-4AC0-B43E-6E62455BF60D}">
  <sheetPr codeName="Hoja11"/>
  <dimension ref="A1:K20"/>
  <sheetViews>
    <sheetView workbookViewId="0"/>
  </sheetViews>
  <sheetFormatPr baseColWidth="10" defaultRowHeight="15" x14ac:dyDescent="0.25"/>
  <cols>
    <col min="1" max="1" width="44.42578125" bestFit="1" customWidth="1"/>
  </cols>
  <sheetData>
    <row r="1" spans="1:11" x14ac:dyDescent="0.25">
      <c r="A1" s="5" t="s">
        <v>13</v>
      </c>
      <c r="D1" t="s">
        <v>18</v>
      </c>
    </row>
    <row r="2" spans="1:11" x14ac:dyDescent="0.25">
      <c r="A2" t="s">
        <v>14</v>
      </c>
      <c r="B2" s="7">
        <v>40000</v>
      </c>
    </row>
    <row r="3" spans="1:11" x14ac:dyDescent="0.25">
      <c r="A3" t="s">
        <v>15</v>
      </c>
      <c r="B3" s="7">
        <v>12000</v>
      </c>
    </row>
    <row r="4" spans="1:11" x14ac:dyDescent="0.25">
      <c r="A4" t="s">
        <v>2</v>
      </c>
      <c r="B4" s="8">
        <v>0.11999999731779099</v>
      </c>
    </row>
    <row r="5" spans="1:11" x14ac:dyDescent="0.25">
      <c r="A5" t="s">
        <v>3</v>
      </c>
      <c r="B5" s="3">
        <v>10</v>
      </c>
    </row>
    <row r="6" spans="1:11" x14ac:dyDescent="0.25">
      <c r="A6" t="s">
        <v>4</v>
      </c>
      <c r="B6" s="8">
        <v>0.15999999642372131</v>
      </c>
      <c r="C6" t="s">
        <v>11</v>
      </c>
    </row>
    <row r="8" spans="1:11" x14ac:dyDescent="0.25">
      <c r="A8" t="s">
        <v>16</v>
      </c>
    </row>
    <row r="9" spans="1:11" x14ac:dyDescent="0.25">
      <c r="A9" t="s">
        <v>8</v>
      </c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</row>
    <row r="10" spans="1:11" x14ac:dyDescent="0.25">
      <c r="A10" t="s">
        <v>17</v>
      </c>
      <c r="B10" s="6">
        <v>12000</v>
      </c>
      <c r="C10" s="6">
        <v>13440.000057220459</v>
      </c>
      <c r="D10" s="6">
        <v>15052.800128173829</v>
      </c>
      <c r="E10" s="6">
        <v>16859.136215332033</v>
      </c>
      <c r="F10" s="6">
        <v>18882.232641562499</v>
      </c>
      <c r="G10" s="6">
        <v>21148.100648587504</v>
      </c>
      <c r="H10" s="6">
        <v>23685.872827260006</v>
      </c>
      <c r="I10" s="6">
        <v>26528.177679474251</v>
      </c>
      <c r="J10" s="6">
        <v>29711.559127507371</v>
      </c>
      <c r="K10" s="6">
        <v>33276.946364484007</v>
      </c>
    </row>
    <row r="11" spans="1:11" x14ac:dyDescent="0.25">
      <c r="A11" t="s">
        <v>10</v>
      </c>
      <c r="B11">
        <v>0.86206901073455811</v>
      </c>
      <c r="C11">
        <v>0.75757580995559692</v>
      </c>
      <c r="D11">
        <v>0.67567569017410278</v>
      </c>
      <c r="E11">
        <v>0.60975611209869385</v>
      </c>
      <c r="F11">
        <v>0.55555558204650879</v>
      </c>
      <c r="G11">
        <v>0.51020407676696777</v>
      </c>
      <c r="H11">
        <v>0.47169813513755798</v>
      </c>
      <c r="I11">
        <v>0.43859648704528809</v>
      </c>
      <c r="J11">
        <v>0.4098360538482666</v>
      </c>
      <c r="K11">
        <v>0.38461539149284363</v>
      </c>
    </row>
    <row r="13" spans="1:11" x14ac:dyDescent="0.25">
      <c r="A13" t="s">
        <v>12</v>
      </c>
      <c r="B13">
        <v>70040.837917748897</v>
      </c>
    </row>
    <row r="16" spans="1:11" x14ac:dyDescent="0.25">
      <c r="B16">
        <v>0.16</v>
      </c>
      <c r="C16">
        <v>70040.835521564717</v>
      </c>
    </row>
    <row r="17" spans="2:3" x14ac:dyDescent="0.25">
      <c r="B17">
        <v>2E-3</v>
      </c>
      <c r="C17">
        <v>167923.39484584841</v>
      </c>
    </row>
    <row r="18" spans="2:3" x14ac:dyDescent="0.25">
      <c r="B18">
        <v>1.0000000000000001E-5</v>
      </c>
      <c r="C18">
        <v>170571.31697183309</v>
      </c>
    </row>
    <row r="19" spans="2:3" x14ac:dyDescent="0.25">
      <c r="B19">
        <v>15</v>
      </c>
      <c r="C19">
        <v>-36850.453160465331</v>
      </c>
    </row>
    <row r="20" spans="2:3" x14ac:dyDescent="0.25">
      <c r="B20">
        <v>16</v>
      </c>
      <c r="C20">
        <v>-37042.287255205352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AFF9E4-941F-47DB-91FD-9B45B59C757B}">
  <sheetPr codeName="Hoja7"/>
  <dimension ref="A1:K13"/>
  <sheetViews>
    <sheetView workbookViewId="0">
      <selection activeCell="B15" sqref="B15"/>
    </sheetView>
  </sheetViews>
  <sheetFormatPr baseColWidth="10" defaultRowHeight="15" x14ac:dyDescent="0.25"/>
  <cols>
    <col min="1" max="1" width="44.42578125" bestFit="1" customWidth="1"/>
  </cols>
  <sheetData>
    <row r="1" spans="1:11" x14ac:dyDescent="0.25">
      <c r="A1" s="5" t="s">
        <v>13</v>
      </c>
      <c r="D1" t="s">
        <v>18</v>
      </c>
    </row>
    <row r="2" spans="1:11" x14ac:dyDescent="0.25">
      <c r="A2" t="s">
        <v>14</v>
      </c>
      <c r="B2" s="7">
        <v>40000</v>
      </c>
    </row>
    <row r="3" spans="1:11" x14ac:dyDescent="0.25">
      <c r="A3" t="s">
        <v>15</v>
      </c>
      <c r="B3" s="7">
        <v>12000</v>
      </c>
    </row>
    <row r="4" spans="1:11" x14ac:dyDescent="0.25">
      <c r="A4" t="s">
        <v>2</v>
      </c>
      <c r="B4" s="8">
        <v>0.11999999731779099</v>
      </c>
    </row>
    <row r="5" spans="1:11" x14ac:dyDescent="0.25">
      <c r="A5" t="s">
        <v>3</v>
      </c>
      <c r="B5" s="3">
        <v>10</v>
      </c>
    </row>
    <row r="6" spans="1:11" x14ac:dyDescent="0.25">
      <c r="A6" t="s">
        <v>4</v>
      </c>
      <c r="B6" s="8">
        <v>0.15999999642372131</v>
      </c>
      <c r="C6" t="s">
        <v>11</v>
      </c>
    </row>
    <row r="8" spans="1:11" x14ac:dyDescent="0.25">
      <c r="A8" t="s">
        <v>16</v>
      </c>
    </row>
    <row r="9" spans="1:11" x14ac:dyDescent="0.25">
      <c r="A9" t="s">
        <v>8</v>
      </c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</row>
    <row r="10" spans="1:11" x14ac:dyDescent="0.25">
      <c r="A10" t="s">
        <v>17</v>
      </c>
      <c r="B10" s="6">
        <v>12000</v>
      </c>
      <c r="C10" s="6">
        <v>13440.000057220459</v>
      </c>
      <c r="D10" s="6">
        <v>15052.800128173829</v>
      </c>
      <c r="E10" s="6">
        <v>16859.136215332033</v>
      </c>
      <c r="F10" s="6">
        <v>18882.232641562499</v>
      </c>
      <c r="G10" s="6">
        <v>21148.100648587504</v>
      </c>
      <c r="H10" s="6">
        <v>23685.872827260006</v>
      </c>
      <c r="I10" s="6">
        <v>26528.177679474251</v>
      </c>
      <c r="J10" s="6">
        <v>29711.559127507371</v>
      </c>
      <c r="K10" s="6">
        <v>33276.946364484007</v>
      </c>
    </row>
    <row r="11" spans="1:11" x14ac:dyDescent="0.25">
      <c r="A11" t="s">
        <v>10</v>
      </c>
      <c r="B11">
        <v>0.8928571343421936</v>
      </c>
      <c r="C11">
        <v>0.80645161867141724</v>
      </c>
      <c r="D11">
        <v>0.73529410362243652</v>
      </c>
      <c r="E11">
        <v>0.67567569017410278</v>
      </c>
      <c r="F11">
        <v>0.62500005960464478</v>
      </c>
      <c r="G11">
        <v>0.58139532804489136</v>
      </c>
      <c r="H11">
        <v>0.54347831010818481</v>
      </c>
      <c r="I11">
        <v>0.51020407676696777</v>
      </c>
      <c r="J11">
        <v>0.48076924681663513</v>
      </c>
      <c r="K11">
        <v>0.45454549789428711</v>
      </c>
    </row>
    <row r="13" spans="1:11" x14ac:dyDescent="0.25">
      <c r="A13" t="s">
        <v>12</v>
      </c>
      <c r="B13">
        <v>83927.175125028298</v>
      </c>
    </row>
  </sheetData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014188-EB27-40BB-ACBC-72FE3D124776}">
  <sheetPr codeName="Hoja6"/>
  <dimension ref="A1:D13"/>
  <sheetViews>
    <sheetView workbookViewId="0">
      <selection activeCell="A10" sqref="A10"/>
    </sheetView>
  </sheetViews>
  <sheetFormatPr baseColWidth="10" defaultRowHeight="15" x14ac:dyDescent="0.25"/>
  <cols>
    <col min="1" max="1" width="44.42578125" bestFit="1" customWidth="1"/>
  </cols>
  <sheetData>
    <row r="1" spans="1:4" x14ac:dyDescent="0.25">
      <c r="A1" s="5" t="s">
        <v>19</v>
      </c>
      <c r="D1" t="s">
        <v>18</v>
      </c>
    </row>
    <row r="2" spans="1:4" x14ac:dyDescent="0.25">
      <c r="A2" t="s">
        <v>14</v>
      </c>
      <c r="B2" s="7">
        <v>40000</v>
      </c>
    </row>
    <row r="3" spans="1:4" x14ac:dyDescent="0.25">
      <c r="A3" t="s">
        <v>15</v>
      </c>
      <c r="B3" s="7">
        <v>12000</v>
      </c>
    </row>
    <row r="4" spans="1:4" x14ac:dyDescent="0.25">
      <c r="A4" t="s">
        <v>2</v>
      </c>
      <c r="B4" s="8">
        <v>0.11999999731779099</v>
      </c>
    </row>
    <row r="5" spans="1:4" x14ac:dyDescent="0.25">
      <c r="A5" t="s">
        <v>3</v>
      </c>
      <c r="B5" s="3">
        <v>10</v>
      </c>
    </row>
    <row r="6" spans="1:4" x14ac:dyDescent="0.25">
      <c r="A6" t="s">
        <v>4</v>
      </c>
      <c r="B6" s="8">
        <v>0.15999999642372131</v>
      </c>
      <c r="C6" t="s">
        <v>11</v>
      </c>
    </row>
    <row r="8" spans="1:4" x14ac:dyDescent="0.25">
      <c r="A8" t="s">
        <v>16</v>
      </c>
    </row>
    <row r="9" spans="1:4" x14ac:dyDescent="0.25">
      <c r="A9" t="s">
        <v>8</v>
      </c>
      <c r="B9">
        <v>1</v>
      </c>
    </row>
    <row r="10" spans="1:4" x14ac:dyDescent="0.25">
      <c r="A10" t="s">
        <v>17</v>
      </c>
      <c r="B10">
        <v>12000</v>
      </c>
    </row>
    <row r="11" spans="1:4" x14ac:dyDescent="0.25">
      <c r="A11" t="s">
        <v>10</v>
      </c>
      <c r="B11">
        <v>0.8928571343421936</v>
      </c>
    </row>
    <row r="13" spans="1:4" x14ac:dyDescent="0.25">
      <c r="A13" t="s">
        <v>12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0E92CA-3FF9-4900-AE21-BEEA88F50453}">
  <sheetPr codeName="Hoja5"/>
  <dimension ref="A1:D13"/>
  <sheetViews>
    <sheetView workbookViewId="0"/>
  </sheetViews>
  <sheetFormatPr baseColWidth="10" defaultRowHeight="15" x14ac:dyDescent="0.25"/>
  <cols>
    <col min="1" max="1" width="44.42578125" bestFit="1" customWidth="1"/>
  </cols>
  <sheetData>
    <row r="1" spans="1:4" x14ac:dyDescent="0.25">
      <c r="A1" s="5" t="s">
        <v>13</v>
      </c>
      <c r="D1" t="s">
        <v>18</v>
      </c>
    </row>
    <row r="2" spans="1:4" x14ac:dyDescent="0.25">
      <c r="A2" t="s">
        <v>14</v>
      </c>
      <c r="B2" s="7">
        <v>40000</v>
      </c>
    </row>
    <row r="3" spans="1:4" x14ac:dyDescent="0.25">
      <c r="A3" t="s">
        <v>15</v>
      </c>
      <c r="B3" s="7">
        <v>12000</v>
      </c>
    </row>
    <row r="4" spans="1:4" x14ac:dyDescent="0.25">
      <c r="A4" t="s">
        <v>2</v>
      </c>
      <c r="B4" s="8">
        <v>0.11999999731779099</v>
      </c>
    </row>
    <row r="5" spans="1:4" x14ac:dyDescent="0.25">
      <c r="A5" t="s">
        <v>3</v>
      </c>
      <c r="B5" s="3">
        <v>10</v>
      </c>
    </row>
    <row r="6" spans="1:4" x14ac:dyDescent="0.25">
      <c r="A6" t="s">
        <v>4</v>
      </c>
      <c r="B6" s="8">
        <v>0.15999999642372131</v>
      </c>
      <c r="C6" t="s">
        <v>11</v>
      </c>
    </row>
    <row r="8" spans="1:4" x14ac:dyDescent="0.25">
      <c r="A8" t="s">
        <v>16</v>
      </c>
    </row>
    <row r="9" spans="1:4" x14ac:dyDescent="0.25">
      <c r="A9" t="s">
        <v>8</v>
      </c>
      <c r="B9">
        <v>1</v>
      </c>
    </row>
    <row r="10" spans="1:4" x14ac:dyDescent="0.25">
      <c r="A10" t="s">
        <v>17</v>
      </c>
      <c r="B10">
        <v>12000</v>
      </c>
    </row>
    <row r="11" spans="1:4" x14ac:dyDescent="0.25">
      <c r="A11" t="s">
        <v>10</v>
      </c>
      <c r="B11">
        <v>0.8928571343421936</v>
      </c>
    </row>
    <row r="13" spans="1:4" x14ac:dyDescent="0.25">
      <c r="A13" t="s">
        <v>12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239AEA-C39E-446F-83E7-8B24E63185FD}">
  <sheetPr codeName="Hoja4"/>
  <dimension ref="A1:D13"/>
  <sheetViews>
    <sheetView workbookViewId="0"/>
  </sheetViews>
  <sheetFormatPr baseColWidth="10" defaultRowHeight="15" x14ac:dyDescent="0.25"/>
  <cols>
    <col min="1" max="1" width="44.42578125" bestFit="1" customWidth="1"/>
  </cols>
  <sheetData>
    <row r="1" spans="1:4" x14ac:dyDescent="0.25">
      <c r="A1" s="5" t="s">
        <v>13</v>
      </c>
      <c r="D1" t="s">
        <v>18</v>
      </c>
    </row>
    <row r="2" spans="1:4" x14ac:dyDescent="0.25">
      <c r="A2" t="s">
        <v>14</v>
      </c>
      <c r="B2" s="7">
        <v>40000</v>
      </c>
    </row>
    <row r="3" spans="1:4" x14ac:dyDescent="0.25">
      <c r="A3" t="s">
        <v>15</v>
      </c>
      <c r="B3" s="7">
        <v>12000</v>
      </c>
    </row>
    <row r="4" spans="1:4" x14ac:dyDescent="0.25">
      <c r="A4" t="s">
        <v>2</v>
      </c>
      <c r="B4" s="8">
        <v>0.11999999731779099</v>
      </c>
    </row>
    <row r="5" spans="1:4" x14ac:dyDescent="0.25">
      <c r="A5" t="s">
        <v>3</v>
      </c>
      <c r="B5" s="3">
        <v>10</v>
      </c>
    </row>
    <row r="6" spans="1:4" x14ac:dyDescent="0.25">
      <c r="A6" t="s">
        <v>4</v>
      </c>
      <c r="B6" s="8">
        <v>0.15999999642372131</v>
      </c>
      <c r="C6" t="s">
        <v>11</v>
      </c>
    </row>
    <row r="8" spans="1:4" x14ac:dyDescent="0.25">
      <c r="A8" t="s">
        <v>16</v>
      </c>
    </row>
    <row r="9" spans="1:4" x14ac:dyDescent="0.25">
      <c r="A9" t="s">
        <v>8</v>
      </c>
      <c r="B9">
        <v>1</v>
      </c>
    </row>
    <row r="10" spans="1:4" x14ac:dyDescent="0.25">
      <c r="A10" t="s">
        <v>17</v>
      </c>
      <c r="B10">
        <v>12000</v>
      </c>
    </row>
    <row r="11" spans="1:4" x14ac:dyDescent="0.25">
      <c r="A11" t="s">
        <v>10</v>
      </c>
      <c r="B11">
        <v>0.8928571343421936</v>
      </c>
    </row>
    <row r="13" spans="1:4" x14ac:dyDescent="0.25">
      <c r="A13" t="s">
        <v>12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0773B-B171-4B97-875A-703687573D4D}">
  <sheetPr codeName="Hoja10"/>
  <dimension ref="A1:K20"/>
  <sheetViews>
    <sheetView workbookViewId="0"/>
  </sheetViews>
  <sheetFormatPr baseColWidth="10" defaultRowHeight="15" x14ac:dyDescent="0.25"/>
  <cols>
    <col min="1" max="1" width="44.42578125" bestFit="1" customWidth="1"/>
  </cols>
  <sheetData>
    <row r="1" spans="1:11" x14ac:dyDescent="0.25">
      <c r="A1" s="5" t="s">
        <v>13</v>
      </c>
      <c r="D1" t="s">
        <v>18</v>
      </c>
    </row>
    <row r="2" spans="1:11" x14ac:dyDescent="0.25">
      <c r="A2" t="s">
        <v>14</v>
      </c>
      <c r="B2" s="7">
        <v>40000</v>
      </c>
    </row>
    <row r="3" spans="1:11" x14ac:dyDescent="0.25">
      <c r="A3" t="s">
        <v>15</v>
      </c>
      <c r="B3" s="7">
        <v>12000</v>
      </c>
    </row>
    <row r="4" spans="1:11" x14ac:dyDescent="0.25">
      <c r="A4" t="s">
        <v>2</v>
      </c>
      <c r="B4" s="8">
        <v>0.11999999731779099</v>
      </c>
    </row>
    <row r="5" spans="1:11" x14ac:dyDescent="0.25">
      <c r="A5" t="s">
        <v>3</v>
      </c>
      <c r="B5" s="3">
        <v>10</v>
      </c>
    </row>
    <row r="6" spans="1:11" x14ac:dyDescent="0.25">
      <c r="A6" t="s">
        <v>4</v>
      </c>
      <c r="B6" s="8">
        <v>0.15999999642372131</v>
      </c>
      <c r="C6" t="s">
        <v>11</v>
      </c>
    </row>
    <row r="8" spans="1:11" x14ac:dyDescent="0.25">
      <c r="A8" t="s">
        <v>16</v>
      </c>
    </row>
    <row r="9" spans="1:11" x14ac:dyDescent="0.25">
      <c r="A9" t="s">
        <v>8</v>
      </c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</row>
    <row r="10" spans="1:11" x14ac:dyDescent="0.25">
      <c r="A10" t="s">
        <v>17</v>
      </c>
      <c r="B10" s="6">
        <v>12000</v>
      </c>
      <c r="C10" s="6">
        <v>13440.000057220459</v>
      </c>
      <c r="D10" s="6">
        <v>15052.800128173829</v>
      </c>
      <c r="E10" s="6">
        <v>16859.136215332033</v>
      </c>
      <c r="F10" s="6">
        <v>18882.232641562499</v>
      </c>
      <c r="G10" s="6">
        <v>21148.100648587504</v>
      </c>
      <c r="H10" s="6">
        <v>23685.872827260006</v>
      </c>
      <c r="I10" s="6">
        <v>26528.177679474251</v>
      </c>
      <c r="J10" s="6">
        <v>29711.559127507371</v>
      </c>
      <c r="K10" s="6">
        <v>33276.946364484007</v>
      </c>
    </row>
    <row r="11" spans="1:11" x14ac:dyDescent="0.25">
      <c r="A11" t="s">
        <v>10</v>
      </c>
      <c r="B11">
        <v>0.8928571343421936</v>
      </c>
      <c r="C11">
        <v>0.80645161867141724</v>
      </c>
      <c r="D11">
        <v>0.73529410362243652</v>
      </c>
      <c r="E11">
        <v>0.67567569017410278</v>
      </c>
      <c r="F11">
        <v>0.62500005960464478</v>
      </c>
      <c r="G11">
        <v>0.58139532804489136</v>
      </c>
      <c r="H11">
        <v>0.54347831010818481</v>
      </c>
      <c r="I11">
        <v>0.51020407676696777</v>
      </c>
      <c r="J11">
        <v>0.48076924681663513</v>
      </c>
      <c r="K11">
        <v>0.45454549789428711</v>
      </c>
    </row>
    <row r="13" spans="1:11" x14ac:dyDescent="0.25">
      <c r="A13" t="s">
        <v>12</v>
      </c>
      <c r="B13">
        <v>83927.175125028298</v>
      </c>
    </row>
    <row r="16" spans="1:11" x14ac:dyDescent="0.25">
      <c r="B16">
        <v>0.16</v>
      </c>
      <c r="C16">
        <v>70040.835521564717</v>
      </c>
    </row>
    <row r="17" spans="2:3" x14ac:dyDescent="0.25">
      <c r="B17">
        <v>0.2</v>
      </c>
      <c r="C17">
        <v>59203.921761298625</v>
      </c>
    </row>
    <row r="18" spans="2:3" x14ac:dyDescent="0.25">
      <c r="B18">
        <v>2E-3</v>
      </c>
      <c r="C18">
        <v>167923.39484584841</v>
      </c>
    </row>
    <row r="19" spans="2:3" x14ac:dyDescent="0.25">
      <c r="B19">
        <v>1.9999999999999999E-6</v>
      </c>
      <c r="C19">
        <v>170582.12378131077</v>
      </c>
    </row>
    <row r="20" spans="2:3" x14ac:dyDescent="0.25">
      <c r="B20">
        <v>2E-12</v>
      </c>
      <c r="C20">
        <v>170584.8256869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F8A806-D90A-4E3E-AF72-AD745AEAAFD4}">
  <sheetPr codeName="Hoja9"/>
  <dimension ref="A1:K20"/>
  <sheetViews>
    <sheetView workbookViewId="0"/>
  </sheetViews>
  <sheetFormatPr baseColWidth="10" defaultRowHeight="15" x14ac:dyDescent="0.25"/>
  <cols>
    <col min="1" max="1" width="44.42578125" bestFit="1" customWidth="1"/>
  </cols>
  <sheetData>
    <row r="1" spans="1:11" x14ac:dyDescent="0.25">
      <c r="A1" s="5" t="s">
        <v>13</v>
      </c>
      <c r="D1" t="s">
        <v>18</v>
      </c>
    </row>
    <row r="2" spans="1:11" x14ac:dyDescent="0.25">
      <c r="A2" t="s">
        <v>14</v>
      </c>
      <c r="B2" s="7">
        <v>40000</v>
      </c>
    </row>
    <row r="3" spans="1:11" x14ac:dyDescent="0.25">
      <c r="A3" t="s">
        <v>15</v>
      </c>
      <c r="B3" s="7">
        <v>12000</v>
      </c>
    </row>
    <row r="4" spans="1:11" x14ac:dyDescent="0.25">
      <c r="A4" t="s">
        <v>2</v>
      </c>
      <c r="B4" s="8">
        <v>0.11999999731779099</v>
      </c>
    </row>
    <row r="5" spans="1:11" x14ac:dyDescent="0.25">
      <c r="A5" t="s">
        <v>3</v>
      </c>
      <c r="B5" s="3">
        <v>10</v>
      </c>
    </row>
    <row r="6" spans="1:11" x14ac:dyDescent="0.25">
      <c r="A6" t="s">
        <v>4</v>
      </c>
      <c r="B6" s="8">
        <v>0.15999999642372131</v>
      </c>
      <c r="C6" t="s">
        <v>11</v>
      </c>
    </row>
    <row r="8" spans="1:11" x14ac:dyDescent="0.25">
      <c r="A8" t="s">
        <v>16</v>
      </c>
    </row>
    <row r="9" spans="1:11" x14ac:dyDescent="0.25">
      <c r="A9" t="s">
        <v>8</v>
      </c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</row>
    <row r="10" spans="1:11" x14ac:dyDescent="0.25">
      <c r="A10" t="s">
        <v>17</v>
      </c>
      <c r="B10" s="6">
        <v>12000</v>
      </c>
      <c r="C10" s="6">
        <v>13440.000057220459</v>
      </c>
      <c r="D10" s="6">
        <v>15052.800128173829</v>
      </c>
      <c r="E10" s="6">
        <v>16859.136215332033</v>
      </c>
      <c r="F10" s="6">
        <v>18882.232641562499</v>
      </c>
      <c r="G10" s="6">
        <v>21148.100648587504</v>
      </c>
      <c r="H10" s="6">
        <v>23685.872827260006</v>
      </c>
      <c r="I10" s="6">
        <v>26528.177679474251</v>
      </c>
      <c r="J10" s="6">
        <v>29711.559127507371</v>
      </c>
      <c r="K10" s="6">
        <v>33276.946364484007</v>
      </c>
    </row>
    <row r="11" spans="1:11" x14ac:dyDescent="0.25">
      <c r="A11" t="s">
        <v>10</v>
      </c>
      <c r="B11">
        <v>0.8928571343421936</v>
      </c>
      <c r="C11">
        <v>0.80645161867141724</v>
      </c>
      <c r="D11">
        <v>0.73529410362243652</v>
      </c>
      <c r="E11">
        <v>0.67567569017410278</v>
      </c>
      <c r="F11">
        <v>0.62500005960464478</v>
      </c>
      <c r="G11">
        <v>0.58139532804489136</v>
      </c>
      <c r="H11">
        <v>0.54347831010818481</v>
      </c>
      <c r="I11">
        <v>0.51020407676696777</v>
      </c>
      <c r="J11">
        <v>0.48076924681663513</v>
      </c>
      <c r="K11">
        <v>0.45454549789428711</v>
      </c>
    </row>
    <row r="13" spans="1:11" x14ac:dyDescent="0.25">
      <c r="A13" t="s">
        <v>12</v>
      </c>
      <c r="B13">
        <v>83927.175125028298</v>
      </c>
    </row>
    <row r="16" spans="1:11" x14ac:dyDescent="0.25">
      <c r="B16">
        <v>0.16</v>
      </c>
      <c r="C16">
        <v>33857.36070240027</v>
      </c>
    </row>
    <row r="17" spans="2:3" x14ac:dyDescent="0.25">
      <c r="B17">
        <v>1.6E-2</v>
      </c>
      <c r="C17">
        <v>35145.648399330006</v>
      </c>
    </row>
    <row r="18" spans="2:3" x14ac:dyDescent="0.25">
      <c r="B18">
        <v>1.9999999999999999E-6</v>
      </c>
      <c r="C18">
        <v>35315.862919960666</v>
      </c>
    </row>
    <row r="19" spans="2:3" x14ac:dyDescent="0.25">
      <c r="B19">
        <v>2.2221999999999999E-2</v>
      </c>
      <c r="C19">
        <v>35081.113888954023</v>
      </c>
    </row>
    <row r="20" spans="2:3" x14ac:dyDescent="0.25">
      <c r="B20">
        <v>1521</v>
      </c>
      <c r="C20">
        <v>30614.877780259027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047CD5-0D9B-4DD6-BA69-4E44E1A64233}">
  <sheetPr codeName="Hoja8"/>
  <dimension ref="A1:K20"/>
  <sheetViews>
    <sheetView workbookViewId="0">
      <selection activeCell="B15" sqref="B15"/>
    </sheetView>
  </sheetViews>
  <sheetFormatPr baseColWidth="10" defaultRowHeight="15" x14ac:dyDescent="0.25"/>
  <cols>
    <col min="1" max="1" width="44.42578125" bestFit="1" customWidth="1"/>
  </cols>
  <sheetData>
    <row r="1" spans="1:11" x14ac:dyDescent="0.25">
      <c r="A1" s="5" t="s">
        <v>13</v>
      </c>
      <c r="D1" t="s">
        <v>18</v>
      </c>
    </row>
    <row r="2" spans="1:11" x14ac:dyDescent="0.25">
      <c r="A2" t="s">
        <v>14</v>
      </c>
      <c r="B2" s="7">
        <v>40000</v>
      </c>
    </row>
    <row r="3" spans="1:11" x14ac:dyDescent="0.25">
      <c r="A3" t="s">
        <v>15</v>
      </c>
      <c r="B3" s="7">
        <v>12000</v>
      </c>
    </row>
    <row r="4" spans="1:11" x14ac:dyDescent="0.25">
      <c r="A4" t="s">
        <v>2</v>
      </c>
      <c r="B4" s="8">
        <v>0.11999999731779099</v>
      </c>
    </row>
    <row r="5" spans="1:11" x14ac:dyDescent="0.25">
      <c r="A5" t="s">
        <v>3</v>
      </c>
      <c r="B5" s="3">
        <v>10</v>
      </c>
    </row>
    <row r="6" spans="1:11" x14ac:dyDescent="0.25">
      <c r="A6" t="s">
        <v>4</v>
      </c>
      <c r="B6" s="8">
        <v>0.15999999642372131</v>
      </c>
      <c r="C6" t="s">
        <v>11</v>
      </c>
    </row>
    <row r="8" spans="1:11" x14ac:dyDescent="0.25">
      <c r="A8" t="s">
        <v>16</v>
      </c>
    </row>
    <row r="9" spans="1:11" x14ac:dyDescent="0.25">
      <c r="A9" t="s">
        <v>8</v>
      </c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</row>
    <row r="10" spans="1:11" x14ac:dyDescent="0.25">
      <c r="A10" t="s">
        <v>17</v>
      </c>
      <c r="B10" s="6">
        <v>12000</v>
      </c>
      <c r="C10" s="6">
        <v>13440.000057220459</v>
      </c>
      <c r="D10" s="6">
        <v>15052.800128173829</v>
      </c>
      <c r="E10" s="6">
        <v>16859.136215332033</v>
      </c>
      <c r="F10" s="6">
        <v>18882.232641562499</v>
      </c>
      <c r="G10" s="6">
        <v>21148.100648587504</v>
      </c>
      <c r="H10" s="6">
        <v>23685.872827260006</v>
      </c>
      <c r="I10" s="6">
        <v>26528.177679474251</v>
      </c>
      <c r="J10" s="6">
        <v>29711.559127507371</v>
      </c>
      <c r="K10" s="6">
        <v>33276.946364484007</v>
      </c>
    </row>
    <row r="11" spans="1:11" x14ac:dyDescent="0.25">
      <c r="A11" t="s">
        <v>10</v>
      </c>
      <c r="B11">
        <v>0.8928571343421936</v>
      </c>
      <c r="C11">
        <v>0.80645161867141724</v>
      </c>
      <c r="D11">
        <v>0.73529410362243652</v>
      </c>
      <c r="E11">
        <v>0.67567569017410278</v>
      </c>
      <c r="F11">
        <v>0.62500005960464478</v>
      </c>
      <c r="G11">
        <v>0.58139532804489136</v>
      </c>
      <c r="H11">
        <v>0.54347831010818481</v>
      </c>
      <c r="I11">
        <v>0.51020407676696777</v>
      </c>
      <c r="J11">
        <v>0.48076924681663513</v>
      </c>
      <c r="K11">
        <v>0.45454549789428711</v>
      </c>
    </row>
    <row r="13" spans="1:11" x14ac:dyDescent="0.25">
      <c r="A13" t="s">
        <v>12</v>
      </c>
      <c r="B13">
        <v>83927.175125028298</v>
      </c>
    </row>
    <row r="16" spans="1:11" x14ac:dyDescent="0.25">
      <c r="B16">
        <v>0.2</v>
      </c>
      <c r="C16">
        <v>33564.035576509974</v>
      </c>
    </row>
    <row r="17" spans="2:3" x14ac:dyDescent="0.25">
      <c r="B17">
        <v>0.16</v>
      </c>
      <c r="C17">
        <v>33857.36070240027</v>
      </c>
    </row>
    <row r="18" spans="2:3" x14ac:dyDescent="0.25">
      <c r="B18">
        <v>0.36</v>
      </c>
      <c r="C18">
        <v>32597.785414846079</v>
      </c>
    </row>
    <row r="19" spans="2:3" x14ac:dyDescent="0.25">
      <c r="B19">
        <v>0.02</v>
      </c>
      <c r="C19">
        <v>35104.055496914603</v>
      </c>
    </row>
    <row r="20" spans="2:3" x14ac:dyDescent="0.25">
      <c r="B20">
        <v>1E-3</v>
      </c>
      <c r="C20">
        <v>35305.060159352448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36319D-EF10-4C84-A790-B86A76865959}">
  <sheetPr codeName="Hoja1"/>
  <dimension ref="A1:K13"/>
  <sheetViews>
    <sheetView workbookViewId="0">
      <selection activeCell="D15" sqref="D15"/>
    </sheetView>
  </sheetViews>
  <sheetFormatPr baseColWidth="10" defaultRowHeight="15" x14ac:dyDescent="0.25"/>
  <cols>
    <col min="1" max="1" width="44.42578125" bestFit="1" customWidth="1"/>
  </cols>
  <sheetData>
    <row r="1" spans="1:11" x14ac:dyDescent="0.25">
      <c r="A1" t="s">
        <v>0</v>
      </c>
      <c r="D1" t="s">
        <v>5</v>
      </c>
    </row>
    <row r="2" spans="1:11" x14ac:dyDescent="0.25">
      <c r="A2" t="s">
        <v>6</v>
      </c>
      <c r="B2" s="2">
        <v>40000</v>
      </c>
    </row>
    <row r="3" spans="1:11" x14ac:dyDescent="0.25">
      <c r="A3" t="s">
        <v>1</v>
      </c>
      <c r="B3" s="2">
        <v>12000</v>
      </c>
    </row>
    <row r="4" spans="1:11" x14ac:dyDescent="0.25">
      <c r="A4" t="s">
        <v>2</v>
      </c>
      <c r="B4" s="4">
        <v>0.12</v>
      </c>
    </row>
    <row r="5" spans="1:11" x14ac:dyDescent="0.25">
      <c r="A5" t="s">
        <v>3</v>
      </c>
      <c r="B5" s="3">
        <v>10</v>
      </c>
    </row>
    <row r="6" spans="1:11" x14ac:dyDescent="0.25">
      <c r="A6" t="s">
        <v>4</v>
      </c>
      <c r="B6" s="4">
        <v>0.16</v>
      </c>
      <c r="C6" t="s">
        <v>11</v>
      </c>
    </row>
    <row r="8" spans="1:11" x14ac:dyDescent="0.25">
      <c r="A8" t="s">
        <v>7</v>
      </c>
    </row>
    <row r="9" spans="1:11" x14ac:dyDescent="0.25">
      <c r="A9" t="s">
        <v>8</v>
      </c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</row>
    <row r="10" spans="1:11" x14ac:dyDescent="0.25">
      <c r="A10" t="s">
        <v>9</v>
      </c>
      <c r="B10" s="1">
        <v>12000</v>
      </c>
      <c r="C10">
        <f>B10*(1+$B$4)</f>
        <v>13440.000000000002</v>
      </c>
      <c r="D10">
        <f t="shared" ref="D10:K10" si="0">C10*(1+$B$4)</f>
        <v>15052.800000000003</v>
      </c>
      <c r="E10">
        <f t="shared" si="0"/>
        <v>16859.136000000006</v>
      </c>
      <c r="F10">
        <f t="shared" si="0"/>
        <v>18882.23232000001</v>
      </c>
      <c r="G10">
        <f t="shared" si="0"/>
        <v>21148.100198400014</v>
      </c>
      <c r="H10">
        <f t="shared" si="0"/>
        <v>23685.872222208018</v>
      </c>
      <c r="I10">
        <f t="shared" si="0"/>
        <v>26528.176888872982</v>
      </c>
      <c r="J10">
        <f t="shared" si="0"/>
        <v>29711.558115537744</v>
      </c>
      <c r="K10">
        <f t="shared" si="0"/>
        <v>33276.945089402274</v>
      </c>
    </row>
    <row r="11" spans="1:11" x14ac:dyDescent="0.25">
      <c r="A11" t="s">
        <v>10</v>
      </c>
      <c r="B11">
        <f>1/(1+B9*$B$6)</f>
        <v>0.86206896551724144</v>
      </c>
      <c r="C11">
        <f>1/(1+C9*$B$6)</f>
        <v>0.75757575757575757</v>
      </c>
      <c r="D11">
        <f>1/(1+D9*$B$6)</f>
        <v>0.67567567567567566</v>
      </c>
      <c r="E11">
        <f t="shared" ref="E11:K11" si="1">1/(1+E9*$B$6)</f>
        <v>0.6097560975609756</v>
      </c>
      <c r="F11">
        <f t="shared" si="1"/>
        <v>0.55555555555555558</v>
      </c>
      <c r="G11">
        <f t="shared" si="1"/>
        <v>0.51020408163265307</v>
      </c>
      <c r="H11">
        <f t="shared" si="1"/>
        <v>0.47169811320754712</v>
      </c>
      <c r="I11">
        <f t="shared" si="1"/>
        <v>0.43859649122807015</v>
      </c>
      <c r="J11">
        <f t="shared" si="1"/>
        <v>0.4098360655737705</v>
      </c>
      <c r="K11">
        <f t="shared" si="1"/>
        <v>0.38461538461538458</v>
      </c>
    </row>
    <row r="13" spans="1:11" x14ac:dyDescent="0.25">
      <c r="A13" t="s">
        <v>12</v>
      </c>
      <c r="B13">
        <f>-B2+B10*B11+C10*C11+D10*D11+E10*E11+F10*F11+G10*G11+H10*H11+I10*I11+J10*J11+K10*K11</f>
        <v>70040.833314664094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15</vt:i4>
      </vt:variant>
    </vt:vector>
  </HeadingPairs>
  <TitlesOfParts>
    <vt:vector size="15" baseType="lpstr">
      <vt:lpstr>Hoja14</vt:lpstr>
      <vt:lpstr>Hoja2</vt:lpstr>
      <vt:lpstr>Hoja15</vt:lpstr>
      <vt:lpstr>Hoja13</vt:lpstr>
      <vt:lpstr>Hoja12</vt:lpstr>
      <vt:lpstr>Hoja11</vt:lpstr>
      <vt:lpstr>Hoja10</vt:lpstr>
      <vt:lpstr>Hoja6</vt:lpstr>
      <vt:lpstr>Hoja5</vt:lpstr>
      <vt:lpstr>Hoja4</vt:lpstr>
      <vt:lpstr>Hoja3</vt:lpstr>
      <vt:lpstr>Hoja9</vt:lpstr>
      <vt:lpstr>Hoja8</vt:lpstr>
      <vt:lpstr>Hoja7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 PAZ</dc:creator>
  <cp:lastModifiedBy>MAX PAZ</cp:lastModifiedBy>
  <dcterms:created xsi:type="dcterms:W3CDTF">2019-02-14T00:33:15Z</dcterms:created>
  <dcterms:modified xsi:type="dcterms:W3CDTF">2019-03-12T00:18:41Z</dcterms:modified>
</cp:coreProperties>
</file>